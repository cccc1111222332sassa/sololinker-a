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fzj\Desktop\10 Hinlink-PJ\01 主板研发资料\2023\2358-Sololinker-SDK\05 生产文件\BOM文件\"/>
    </mc:Choice>
  </mc:AlternateContent>
  <xr:revisionPtr revIDLastSave="0" documentId="13_ncr:1_{F8D5F754-D86F-4981-ABB6-65CDCD56B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5" i="1" l="1"/>
  <c r="F19" i="1"/>
  <c r="F26" i="1"/>
  <c r="F28" i="1"/>
  <c r="F44" i="1"/>
  <c r="F41" i="1"/>
  <c r="F11" i="1"/>
  <c r="F15" i="1"/>
  <c r="F37" i="1"/>
  <c r="F38" i="1"/>
  <c r="F39" i="1"/>
  <c r="F40" i="1"/>
  <c r="F42" i="1"/>
  <c r="F43" i="1"/>
  <c r="F46" i="1"/>
  <c r="F22" i="1"/>
  <c r="F18" i="1"/>
  <c r="F20" i="1"/>
  <c r="F21" i="1"/>
  <c r="F23" i="1"/>
  <c r="F24" i="1"/>
  <c r="F30" i="1"/>
  <c r="F31" i="1"/>
  <c r="F32" i="1"/>
  <c r="F33" i="1"/>
  <c r="F34" i="1"/>
  <c r="F35" i="1"/>
  <c r="F36" i="1"/>
  <c r="F25" i="1"/>
  <c r="F27" i="1"/>
  <c r="F29" i="1"/>
  <c r="F13" i="1"/>
  <c r="F12" i="1"/>
  <c r="F7" i="1"/>
  <c r="F8" i="1"/>
  <c r="F9" i="1"/>
  <c r="F10" i="1"/>
  <c r="F14" i="1"/>
  <c r="F16" i="1"/>
  <c r="F17" i="1"/>
  <c r="F6" i="1"/>
</calcChain>
</file>

<file path=xl/sharedStrings.xml><?xml version="1.0" encoding="utf-8"?>
<sst xmlns="http://schemas.openxmlformats.org/spreadsheetml/2006/main" count="275" uniqueCount="225">
  <si>
    <t>BOM基本信息</t>
  </si>
  <si>
    <t>BOM用料信息</t>
  </si>
  <si>
    <t>品牌</t>
  </si>
  <si>
    <t>位号</t>
  </si>
  <si>
    <t>BOM表备注：</t>
    <phoneticPr fontId="4" type="noConversion"/>
  </si>
  <si>
    <t>用量</t>
    <phoneticPr fontId="4" type="noConversion"/>
  </si>
  <si>
    <t>备注</t>
    <phoneticPr fontId="4" type="noConversion"/>
  </si>
  <si>
    <t>国巨</t>
    <phoneticPr fontId="4" type="noConversion"/>
  </si>
  <si>
    <t>序</t>
    <phoneticPr fontId="4" type="noConversion"/>
  </si>
  <si>
    <t>CAP,CER,4.7uF,0402,10V,X5R,10%,ROHS</t>
    <phoneticPr fontId="4" type="noConversion"/>
  </si>
  <si>
    <t>02-S102-04U7FX5R-10</t>
    <phoneticPr fontId="4" type="noConversion"/>
  </si>
  <si>
    <t>CAP,CER,10uF,0603,10V,X5R,20%,ROHS</t>
    <phoneticPr fontId="4" type="noConversion"/>
  </si>
  <si>
    <t>02-S103-010UFX5R-10</t>
    <phoneticPr fontId="4" type="noConversion"/>
  </si>
  <si>
    <t>CAP,CER,22uF,0603,10V,X5R,20%,ROHS</t>
    <phoneticPr fontId="4" type="noConversion"/>
  </si>
  <si>
    <t>02-S103-022UFX5R-10</t>
    <phoneticPr fontId="4" type="noConversion"/>
  </si>
  <si>
    <t>RES,0R,0402,1/16W,50V,1%,ROHS</t>
    <phoneticPr fontId="4" type="noConversion"/>
  </si>
  <si>
    <t>01-S102-0000RA-1/16</t>
    <phoneticPr fontId="4" type="noConversion"/>
  </si>
  <si>
    <t>顺络</t>
    <phoneticPr fontId="4" type="noConversion"/>
  </si>
  <si>
    <t>芯导</t>
    <phoneticPr fontId="4" type="noConversion"/>
  </si>
  <si>
    <t>乐观</t>
    <phoneticPr fontId="4" type="noConversion"/>
  </si>
  <si>
    <t>04-PSBD520S30-SOD523-XD</t>
    <phoneticPr fontId="4" type="noConversion"/>
  </si>
  <si>
    <t>IND,PSBD520S-30,VDC=30,IAV=0.2A,600mV@200mA,SOD523,ROHS</t>
    <phoneticPr fontId="4" type="noConversion"/>
  </si>
  <si>
    <t>规格型号</t>
    <phoneticPr fontId="4" type="noConversion"/>
  </si>
  <si>
    <t>旧物料编码</t>
    <phoneticPr fontId="4" type="noConversion"/>
  </si>
  <si>
    <t>描述</t>
    <phoneticPr fontId="4" type="noConversion"/>
  </si>
  <si>
    <t>永捷</t>
    <phoneticPr fontId="4" type="noConversion"/>
  </si>
  <si>
    <t>NA</t>
    <phoneticPr fontId="4" type="noConversion"/>
  </si>
  <si>
    <t>03-PZ1005U221-R80TF</t>
    <phoneticPr fontId="4" type="noConversion"/>
  </si>
  <si>
    <t>BEAD,PZ1005U221-R80TF,0402,0.8A,0.18ohm,ROSH</t>
    <phoneticPr fontId="4" type="noConversion"/>
  </si>
  <si>
    <t>长电/长晶</t>
    <phoneticPr fontId="4" type="noConversion"/>
  </si>
  <si>
    <t>01-S102-0001RA-1/16</t>
    <phoneticPr fontId="4" type="noConversion"/>
  </si>
  <si>
    <t>RES,1R,0402,1/16W,50V,1%,ROHS</t>
    <phoneticPr fontId="4" type="noConversion"/>
  </si>
  <si>
    <t>01-S102-10K0RA-1/16</t>
    <phoneticPr fontId="4" type="noConversion"/>
  </si>
  <si>
    <t>RES,10K,0402,1/16W,50V,1%,ROHS</t>
    <phoneticPr fontId="4" type="noConversion"/>
  </si>
  <si>
    <t>D5</t>
    <phoneticPr fontId="4" type="noConversion"/>
  </si>
  <si>
    <t>丝印：IPC50-RV1106
名称：IPC50-RV1106主板光板
备注：
Gerber文件：《RV1106G_IPC_V1.0-CAM制版文件》
大小：长宽为50mmX50mm</t>
    <phoneticPr fontId="4" type="noConversion"/>
  </si>
  <si>
    <t>09-IPC50-RV1106_V1</t>
    <phoneticPr fontId="4" type="noConversion"/>
  </si>
  <si>
    <t>R7,R9</t>
    <phoneticPr fontId="4" type="noConversion"/>
  </si>
  <si>
    <t>R19,R23,R27,R41</t>
    <phoneticPr fontId="4" type="noConversion"/>
  </si>
  <si>
    <t>轻触开关,4.6*3*2,平卧,贴片,ROHS,UL94V-0</t>
    <phoneticPr fontId="4" type="noConversion"/>
  </si>
  <si>
    <t>D4</t>
    <phoneticPr fontId="4" type="noConversion"/>
  </si>
  <si>
    <t>04-BE10L5U0R36P4-DFN10</t>
    <phoneticPr fontId="4" type="noConversion"/>
  </si>
  <si>
    <t>ESD,BE10L5U0R36P4,VBR=5V,双向,DFN-10,ROHS，替代PESDALC10N5VU</t>
    <phoneticPr fontId="4" type="noConversion"/>
  </si>
  <si>
    <t>Beacon</t>
    <phoneticPr fontId="4" type="noConversion"/>
  </si>
  <si>
    <t>04-SMF70CA-SOD123</t>
    <phoneticPr fontId="4" type="noConversion"/>
  </si>
  <si>
    <t>ESD,SMF70CA,VBR=8V,单向,SOD123,ROHS</t>
    <phoneticPr fontId="4" type="noConversion"/>
  </si>
  <si>
    <t>07-S102-F150M50-LG</t>
    <phoneticPr fontId="4" type="noConversion"/>
  </si>
  <si>
    <t>02-S101-018PFC0G-25</t>
    <phoneticPr fontId="4" type="noConversion"/>
  </si>
  <si>
    <t>CAP,CER,18pF,0201,25V,C0G,5%,ROHS</t>
    <phoneticPr fontId="4" type="noConversion"/>
  </si>
  <si>
    <t>02-S101-100NFX5R-16</t>
    <phoneticPr fontId="4" type="noConversion"/>
  </si>
  <si>
    <t>CAP,CER,100nF,0201,16V,X5R,10%,ROHS</t>
    <phoneticPr fontId="4" type="noConversion"/>
  </si>
  <si>
    <t>01-S101-40K2RA-1/20</t>
    <phoneticPr fontId="4" type="noConversion"/>
  </si>
  <si>
    <t>RES,40.2K,0201,1/20W,25V,1%,ROHS</t>
    <phoneticPr fontId="4" type="noConversion"/>
  </si>
  <si>
    <t>07-463020-LG</t>
    <phoneticPr fontId="4" type="noConversion"/>
  </si>
  <si>
    <t>永裕光电</t>
    <phoneticPr fontId="4" type="noConversion"/>
  </si>
  <si>
    <t>04-SZYY0402G-0402W</t>
    <phoneticPr fontId="4" type="noConversion"/>
  </si>
  <si>
    <t>LED,SZYY0402G,翠绿色,530nm,2.8V,20mA,120°,0402,卧贴,ROHS</t>
    <phoneticPr fontId="4" type="noConversion"/>
  </si>
  <si>
    <t>台湾光宝</t>
    <phoneticPr fontId="4" type="noConversion"/>
  </si>
  <si>
    <t>04-LTSTC281KRKT-0402W</t>
    <phoneticPr fontId="4" type="noConversion"/>
  </si>
  <si>
    <t>LED,LTST-C281KRKT,红色,639nm,2.0V,20mA,130°,0402,卧贴,ROHS</t>
    <phoneticPr fontId="4" type="noConversion"/>
  </si>
  <si>
    <t xml:space="preserve">07-S102-F400M50-LG </t>
    <phoneticPr fontId="4" type="noConversion"/>
  </si>
  <si>
    <t>FPC,40PIN,0.5mm间距,卧贴,前插后掀,下接触,IAV=0.5A,ROHS,UL94V-0</t>
    <phoneticPr fontId="4" type="noConversion"/>
  </si>
  <si>
    <t>03-WPN201610U2R2MT-1A9</t>
    <phoneticPr fontId="4" type="noConversion"/>
  </si>
  <si>
    <t>04-2SK3018-NMOS-SOT323</t>
    <phoneticPr fontId="4" type="noConversion"/>
  </si>
  <si>
    <t>NMOS管,2SK3018,VDC=30,IAV=100mA,RDS=8R,SOT323,ROHS</t>
    <phoneticPr fontId="4" type="noConversion"/>
  </si>
  <si>
    <t>C12,C13,C15,C16,C18</t>
    <phoneticPr fontId="4" type="noConversion"/>
  </si>
  <si>
    <t>C7,C17</t>
    <phoneticPr fontId="4" type="noConversion"/>
  </si>
  <si>
    <t>C19</t>
    <phoneticPr fontId="4" type="noConversion"/>
  </si>
  <si>
    <t>C26,C27</t>
    <phoneticPr fontId="4" type="noConversion"/>
  </si>
  <si>
    <t>C23,C30</t>
    <phoneticPr fontId="4" type="noConversion"/>
  </si>
  <si>
    <t>C1,C2,C3,C4,C10154,C10155,C9,C11,C22,C104,C105,C9941,C9942,C9943,C69,C10162,C10163</t>
    <phoneticPr fontId="4" type="noConversion"/>
  </si>
  <si>
    <t>C103</t>
    <phoneticPr fontId="4" type="noConversion"/>
  </si>
  <si>
    <t>C8,C28,C29,C184,C10159,C10161</t>
    <phoneticPr fontId="4" type="noConversion"/>
  </si>
  <si>
    <t>C2003</t>
    <phoneticPr fontId="4" type="noConversion"/>
  </si>
  <si>
    <t>C5,C6,C10158,C10,C14,C20,C24,C25,C111,C21,C100,C59,C9908,C10160</t>
    <phoneticPr fontId="4" type="noConversion"/>
  </si>
  <si>
    <t>C10156,C106</t>
    <phoneticPr fontId="4" type="noConversion"/>
  </si>
  <si>
    <t>D1,D2</t>
    <phoneticPr fontId="4" type="noConversion"/>
  </si>
  <si>
    <t>D19</t>
    <phoneticPr fontId="4" type="noConversion"/>
  </si>
  <si>
    <t>兴邦红外灯珠</t>
    <phoneticPr fontId="4" type="noConversion"/>
  </si>
  <si>
    <t>D20,D21</t>
    <phoneticPr fontId="4" type="noConversion"/>
  </si>
  <si>
    <t>D43,D44,D45,D46,D47,D48,D49,D50</t>
    <phoneticPr fontId="4" type="noConversion"/>
  </si>
  <si>
    <t>ED1</t>
    <phoneticPr fontId="4" type="noConversion"/>
  </si>
  <si>
    <t>FB1</t>
    <phoneticPr fontId="4" type="noConversion"/>
  </si>
  <si>
    <t>FB2</t>
    <phoneticPr fontId="4" type="noConversion"/>
  </si>
  <si>
    <t>R5</t>
    <phoneticPr fontId="4" type="noConversion"/>
  </si>
  <si>
    <t>RES,11K,0402,1/20W,25V,1%,ROHS</t>
    <phoneticPr fontId="4" type="noConversion"/>
  </si>
  <si>
    <t>R2,R3,R21,R23,R10171,R7</t>
    <phoneticPr fontId="4" type="noConversion"/>
  </si>
  <si>
    <t>R8</t>
    <phoneticPr fontId="4" type="noConversion"/>
  </si>
  <si>
    <t>R26,R27</t>
    <phoneticPr fontId="4" type="noConversion"/>
  </si>
  <si>
    <t>R6,R9,R20,R22,R24,R10160,R28</t>
    <phoneticPr fontId="4" type="noConversion"/>
  </si>
  <si>
    <t>R32</t>
    <phoneticPr fontId="4" type="noConversion"/>
  </si>
  <si>
    <t>R33,R34,R10156,R10157,R10158,R10168</t>
    <phoneticPr fontId="4" type="noConversion"/>
  </si>
  <si>
    <t>R35,R107</t>
    <phoneticPr fontId="4" type="noConversion"/>
  </si>
  <si>
    <t>R36,R106</t>
    <phoneticPr fontId="4" type="noConversion"/>
  </si>
  <si>
    <t>RES,500K,0402,1/16W,50V,1%,ROHS</t>
    <phoneticPr fontId="4" type="noConversion"/>
  </si>
  <si>
    <t>R37</t>
    <phoneticPr fontId="4" type="noConversion"/>
  </si>
  <si>
    <t>R1,R4,R11,R13,R104,R10169,R103</t>
    <phoneticPr fontId="4" type="noConversion"/>
  </si>
  <si>
    <t>R105</t>
    <phoneticPr fontId="4" type="noConversion"/>
  </si>
  <si>
    <t>R153</t>
    <phoneticPr fontId="4" type="noConversion"/>
  </si>
  <si>
    <t>R155</t>
    <phoneticPr fontId="4" type="noConversion"/>
  </si>
  <si>
    <t>R151,R222,R223,R10162,R10163,R10164,R10165,R10166,R10167</t>
    <phoneticPr fontId="4" type="noConversion"/>
  </si>
  <si>
    <t>R10155</t>
    <phoneticPr fontId="4" type="noConversion"/>
  </si>
  <si>
    <t>R10161</t>
    <phoneticPr fontId="4" type="noConversion"/>
  </si>
  <si>
    <t>FB3,FB4</t>
    <phoneticPr fontId="4" type="noConversion"/>
  </si>
  <si>
    <t>FB2203,FB2204</t>
    <phoneticPr fontId="4" type="noConversion"/>
  </si>
  <si>
    <t>J1</t>
    <phoneticPr fontId="4" type="noConversion"/>
  </si>
  <si>
    <t>J2,J3</t>
    <phoneticPr fontId="4" type="noConversion"/>
  </si>
  <si>
    <t>J4,J6</t>
    <phoneticPr fontId="4" type="noConversion"/>
  </si>
  <si>
    <t>FPC,15PIN,0.5mm间距,卧贴,前插后掀,下接触,IAV=0.5A,ROHS,UL94V-0</t>
    <phoneticPr fontId="4" type="noConversion"/>
  </si>
  <si>
    <t>J5</t>
    <phoneticPr fontId="4" type="noConversion"/>
  </si>
  <si>
    <t>J8</t>
    <phoneticPr fontId="4" type="noConversion"/>
  </si>
  <si>
    <t>J9</t>
    <phoneticPr fontId="4" type="noConversion"/>
  </si>
  <si>
    <t>J10,J13,J14,J15</t>
    <phoneticPr fontId="4" type="noConversion"/>
  </si>
  <si>
    <t>J12</t>
    <phoneticPr fontId="4" type="noConversion"/>
  </si>
  <si>
    <t>J17</t>
    <phoneticPr fontId="4" type="noConversion"/>
  </si>
  <si>
    <t>J18</t>
    <phoneticPr fontId="4" type="noConversion"/>
  </si>
  <si>
    <t>2.54mm间距15X2PIN 双排座</t>
    <phoneticPr fontId="4" type="noConversion"/>
  </si>
  <si>
    <t>2.54mm间距 5PIN 单排座</t>
    <phoneticPr fontId="4" type="noConversion"/>
  </si>
  <si>
    <t>J8503,J8504</t>
    <phoneticPr fontId="4" type="noConversion"/>
  </si>
  <si>
    <t>贴片USB连接器 912-121A2026S10100</t>
    <phoneticPr fontId="4" type="noConversion"/>
  </si>
  <si>
    <t>J8506,J8507</t>
    <phoneticPr fontId="4" type="noConversion"/>
  </si>
  <si>
    <t>L1</t>
    <phoneticPr fontId="4" type="noConversion"/>
  </si>
  <si>
    <t>L11</t>
    <phoneticPr fontId="4" type="noConversion"/>
  </si>
  <si>
    <t>Q1</t>
    <phoneticPr fontId="4" type="noConversion"/>
  </si>
  <si>
    <t>NMOS管,CJ3400,VDC=30,IAV=5.8A,RDS=35mR,SOT23,ROHS</t>
    <phoneticPr fontId="4" type="noConversion"/>
  </si>
  <si>
    <t>Q2,Q3</t>
    <phoneticPr fontId="4" type="noConversion"/>
  </si>
  <si>
    <t>SW1,SW2,SW3,SW4,SW5,SW6,SW8,SW9,SW10,SW11,SW12,SW13</t>
    <phoneticPr fontId="4" type="noConversion"/>
  </si>
  <si>
    <t>SW7</t>
    <phoneticPr fontId="4" type="noConversion"/>
  </si>
  <si>
    <t>SV839开发板的SW拨码开关</t>
    <phoneticPr fontId="4" type="noConversion"/>
  </si>
  <si>
    <t>SV839开发板电源连接器-DC-005C-20A</t>
    <phoneticPr fontId="4" type="noConversion"/>
  </si>
  <si>
    <t>TV4</t>
    <phoneticPr fontId="4" type="noConversion"/>
  </si>
  <si>
    <t>U1</t>
    <phoneticPr fontId="4" type="noConversion"/>
  </si>
  <si>
    <t>LDO,LP3983SAB5F-08,可调0.8V,SOT23-5,ROHS</t>
    <phoneticPr fontId="4" type="noConversion"/>
  </si>
  <si>
    <t>U2</t>
    <phoneticPr fontId="4" type="noConversion"/>
  </si>
  <si>
    <t>U5</t>
    <phoneticPr fontId="4" type="noConversion"/>
  </si>
  <si>
    <t>U6</t>
    <phoneticPr fontId="4" type="noConversion"/>
  </si>
  <si>
    <t>充电IC芯片LGS4056H</t>
    <phoneticPr fontId="4" type="noConversion"/>
  </si>
  <si>
    <t>U12</t>
    <phoneticPr fontId="4" type="noConversion"/>
  </si>
  <si>
    <t>U7015</t>
    <phoneticPr fontId="4" type="noConversion"/>
  </si>
  <si>
    <t>LDO芯片AD9193P18U3R，SOT23-5</t>
    <phoneticPr fontId="4" type="noConversion"/>
  </si>
  <si>
    <t>U7018</t>
    <phoneticPr fontId="4" type="noConversion"/>
  </si>
  <si>
    <t>USB HUB芯片 FE1_1S_B12</t>
    <phoneticPr fontId="4" type="noConversion"/>
  </si>
  <si>
    <t>Y6802</t>
    <phoneticPr fontId="4" type="noConversion"/>
  </si>
  <si>
    <t>02-S102-022PFC0G-50</t>
    <phoneticPr fontId="4" type="noConversion"/>
  </si>
  <si>
    <t>CAP,CER,22pF,0402,50V,C0G,5%,ROHS</t>
    <phoneticPr fontId="4" type="noConversion"/>
  </si>
  <si>
    <t>02-S102-001NFX5R-25</t>
    <phoneticPr fontId="4" type="noConversion"/>
  </si>
  <si>
    <t>CAP,CER,1nF,0402,25V,X5R,10%,ROHS</t>
    <phoneticPr fontId="4" type="noConversion"/>
  </si>
  <si>
    <t>02-S102-010NFX5R-16</t>
    <phoneticPr fontId="4" type="noConversion"/>
  </si>
  <si>
    <t>CAP,CER,10nF,0402,16V,X5R,10%,ROHS</t>
    <phoneticPr fontId="4" type="noConversion"/>
  </si>
  <si>
    <t>02-S102-100NFX5R-25</t>
    <phoneticPr fontId="4" type="noConversion"/>
  </si>
  <si>
    <t>CAP,CER,100nF,0402,25V,X5R,10%,ROHS</t>
    <phoneticPr fontId="4" type="noConversion"/>
  </si>
  <si>
    <t>02-S102-001UFX5R-16</t>
    <phoneticPr fontId="4" type="noConversion"/>
  </si>
  <si>
    <t>CAP,CER,1uF,0402,16V,X5R,10%,ROHS</t>
    <phoneticPr fontId="4" type="noConversion"/>
  </si>
  <si>
    <t>02-S105-010UFX5R-16</t>
    <phoneticPr fontId="4" type="noConversion"/>
  </si>
  <si>
    <t>CAP,CER,10uF,0805,16V,X5R,20%,ROHS</t>
    <phoneticPr fontId="4" type="noConversion"/>
  </si>
  <si>
    <t>01-S103-0000RA-1/10</t>
    <phoneticPr fontId="4" type="noConversion"/>
  </si>
  <si>
    <t>RES,0R,0603,1/10W,50V,1%,ROHS</t>
    <phoneticPr fontId="4" type="noConversion"/>
  </si>
  <si>
    <t>01-S105-0000RA-1/08</t>
    <phoneticPr fontId="4" type="noConversion"/>
  </si>
  <si>
    <t>RES,0R,0805,1/8W,50V,1%,ROHS</t>
    <phoneticPr fontId="4" type="noConversion"/>
  </si>
  <si>
    <t>01-S106-0010RA-1/04</t>
    <phoneticPr fontId="4" type="noConversion"/>
  </si>
  <si>
    <t>RES,10R,1206,1/04W,50V,1%,ROHS</t>
    <phoneticPr fontId="4" type="noConversion"/>
  </si>
  <si>
    <t>01-S102-0100RA-1/16</t>
    <phoneticPr fontId="4" type="noConversion"/>
  </si>
  <si>
    <t>RES,100R,0402,1/16W,50V,1%,ROHS</t>
    <phoneticPr fontId="4" type="noConversion"/>
  </si>
  <si>
    <t>01-S102-0510RA-1/16</t>
    <phoneticPr fontId="4" type="noConversion"/>
  </si>
  <si>
    <t>RES,510R,0402,1/16W,50V,1%,ROHS</t>
    <phoneticPr fontId="4" type="noConversion"/>
  </si>
  <si>
    <t>01-S102-01K0RA-1/16</t>
    <phoneticPr fontId="4" type="noConversion"/>
  </si>
  <si>
    <t>RES,1K,0402,1/16W,50V,1%,ROHS</t>
    <phoneticPr fontId="4" type="noConversion"/>
  </si>
  <si>
    <t>01-S102-02K0RA-1/16</t>
    <phoneticPr fontId="4" type="noConversion"/>
  </si>
  <si>
    <t>RES,2K,0402,1/16W,50V,1%,ROHS</t>
    <phoneticPr fontId="4" type="noConversion"/>
  </si>
  <si>
    <t>01-S102-02K7RA-1/16</t>
    <phoneticPr fontId="4" type="noConversion"/>
  </si>
  <si>
    <t>RES,2.7K,0402,1/16W,50V,1%,ROHS</t>
    <phoneticPr fontId="4" type="noConversion"/>
  </si>
  <si>
    <t>01-S102-03K9RA-1/16</t>
    <phoneticPr fontId="4" type="noConversion"/>
  </si>
  <si>
    <t>RES,3.9K,0402,1/16W,50V,1%,ROHS</t>
    <phoneticPr fontId="4" type="noConversion"/>
  </si>
  <si>
    <t>01-S102-04K7RA-1/16</t>
    <phoneticPr fontId="4" type="noConversion"/>
  </si>
  <si>
    <t>RES,4.7K,0402,1/16W,50V,1%,ROHS</t>
    <phoneticPr fontId="4" type="noConversion"/>
  </si>
  <si>
    <t>01-S101-7K68RA-1/20</t>
    <phoneticPr fontId="4" type="noConversion"/>
  </si>
  <si>
    <t>RES,7.68K,0201,1/20W,25V,1%,ROHS</t>
    <phoneticPr fontId="4" type="noConversion"/>
  </si>
  <si>
    <t>01-S102-30K0RA-1/16</t>
    <phoneticPr fontId="4" type="noConversion"/>
  </si>
  <si>
    <t>RES,30K,0402,1/16W,50V,1%,ROHS</t>
    <phoneticPr fontId="4" type="noConversion"/>
  </si>
  <si>
    <t>01-S102-100KRA-1/16</t>
    <phoneticPr fontId="4" type="noConversion"/>
  </si>
  <si>
    <t>RES,100K,0402,1/16W,50V,1%,ROHS</t>
    <phoneticPr fontId="4" type="noConversion"/>
  </si>
  <si>
    <t>01-S102-01MKRA-1/16</t>
    <phoneticPr fontId="4" type="noConversion"/>
  </si>
  <si>
    <t>RES,1M,0402,1/16W,50V,1%,ROHS</t>
    <phoneticPr fontId="4" type="noConversion"/>
  </si>
  <si>
    <t>04-PESDXC2FD5VU-ESD0402</t>
    <phoneticPr fontId="4" type="noConversion"/>
  </si>
  <si>
    <t>ESD,PESDXC2FD5VU,VBR=5.4V,单向,DFN1006-2L,ROHS</t>
    <phoneticPr fontId="4" type="noConversion"/>
  </si>
  <si>
    <t>03-PZ1608U221-1R4TF</t>
    <phoneticPr fontId="4" type="noConversion"/>
  </si>
  <si>
    <t>BEAD,PZ1608U221-1R4TF,0603,1.4A,0.1ohm,ROSH</t>
    <phoneticPr fontId="4" type="noConversion"/>
  </si>
  <si>
    <t>03-UPZ2012E221-3R0TF</t>
    <phoneticPr fontId="4" type="noConversion"/>
  </si>
  <si>
    <t>BEAD,UPZ2012E221-3R0TF,0805,3A,0.4ohm,ROSH</t>
    <phoneticPr fontId="4" type="noConversion"/>
  </si>
  <si>
    <t xml:space="preserve">07-S101-F400M52-LG </t>
    <phoneticPr fontId="4" type="noConversion"/>
  </si>
  <si>
    <t>FPC,40PIN,0.5mm间距,立式,正脚位,IAV=0.5A,ROHS,UL94V-0</t>
    <phoneticPr fontId="4" type="noConversion"/>
  </si>
  <si>
    <t>拓致</t>
    <phoneticPr fontId="4" type="noConversion"/>
  </si>
  <si>
    <t>07-RJC4508080201-TZ</t>
    <phoneticPr fontId="4" type="noConversion"/>
  </si>
  <si>
    <t>RJ45 单网口,RJ-C450808-02-01,金属外壳带灯无弹,卧贴直插,ROHS,UL94V-0</t>
    <phoneticPr fontId="4" type="noConversion"/>
  </si>
  <si>
    <t>07-S101-W021M25-LG</t>
    <phoneticPr fontId="4" type="noConversion"/>
  </si>
  <si>
    <t>Wafer连接器,2PIN,1.25mm间距,立贴,IAV=1A,ROHS,UL94V-0</t>
    <phoneticPr fontId="4" type="noConversion"/>
  </si>
  <si>
    <t>07-S101-W031M25-LG</t>
    <phoneticPr fontId="4" type="noConversion"/>
  </si>
  <si>
    <t>Wafer连接器,3PIN,1.25mm间距,立贴,IAV=1A,ROHS,UL94V-0</t>
    <phoneticPr fontId="4" type="noConversion"/>
  </si>
  <si>
    <t>07-S101-W021M00-LG</t>
    <phoneticPr fontId="4" type="noConversion"/>
  </si>
  <si>
    <t>Wafer连接器,2PIN,1mm间距,立贴,IAV=1A,ROHS,UL94V-0</t>
    <phoneticPr fontId="4" type="noConversion"/>
  </si>
  <si>
    <t>07-S101-W041M25-LG</t>
    <phoneticPr fontId="4" type="noConversion"/>
  </si>
  <si>
    <t>Wafer连接器,4PIN,1.25mm间距,立贴,IAV=1A,ROHS,UL94V-0</t>
    <phoneticPr fontId="4" type="noConversion"/>
  </si>
  <si>
    <t>03-WPN4020H4R7MT-2A85</t>
    <phoneticPr fontId="4" type="noConversion"/>
  </si>
  <si>
    <t>04-CJ3400-NMOS-SOT23</t>
    <phoneticPr fontId="4" type="noConversion"/>
  </si>
  <si>
    <t>暂无</t>
    <phoneticPr fontId="4" type="noConversion"/>
  </si>
  <si>
    <t>04-SMAJ15A-SMA-JJW</t>
    <phoneticPr fontId="4" type="noConversion"/>
  </si>
  <si>
    <t>TVS,SMAJ15A,VBR=15V,单向,SMA,ROHS</t>
    <phoneticPr fontId="4" type="noConversion"/>
  </si>
  <si>
    <t>微源</t>
    <phoneticPr fontId="4" type="noConversion"/>
  </si>
  <si>
    <t>08-LDO-LP3983SAB5F08-VY</t>
    <phoneticPr fontId="4" type="noConversion"/>
  </si>
  <si>
    <t>夕力杰</t>
    <phoneticPr fontId="4" type="noConversion"/>
  </si>
  <si>
    <t>08-BUCK-SY8089AAAC-SY</t>
    <phoneticPr fontId="4" type="noConversion"/>
  </si>
  <si>
    <t>BUCK,SY8089AAAC,5V2A,SOT_23_6,ROHS</t>
    <phoneticPr fontId="4" type="noConversion"/>
  </si>
  <si>
    <t>纳芯威</t>
    <phoneticPr fontId="4" type="noConversion"/>
  </si>
  <si>
    <t>08-AUDIO-S4158-NS</t>
    <phoneticPr fontId="4" type="noConversion"/>
  </si>
  <si>
    <t>音频IC,NS4158,SOP8,5V5W,ROHS，替代NS4150</t>
    <phoneticPr fontId="4" type="noConversion"/>
  </si>
  <si>
    <t>钰泰</t>
    <phoneticPr fontId="4" type="noConversion"/>
  </si>
  <si>
    <t>08-BUCK-ETA8121S2G-ET</t>
    <phoneticPr fontId="4" type="noConversion"/>
  </si>
  <si>
    <t>BUCK,ETA8121S2G,28V2A,SOT_23_6,ROHS</t>
    <phoneticPr fontId="4" type="noConversion"/>
  </si>
  <si>
    <t>SJK</t>
    <phoneticPr fontId="4" type="noConversion"/>
  </si>
  <si>
    <t>08-CRY-7E1200045G0D3-SJ</t>
    <phoneticPr fontId="4" type="noConversion"/>
  </si>
  <si>
    <t>晶体,7E1200045G0D3,±30PPM,CL:12pF,2520,4PIN, ROHS</t>
    <phoneticPr fontId="4" type="noConversion"/>
  </si>
  <si>
    <r>
      <rPr>
        <sz val="12"/>
        <rFont val="宋体"/>
        <family val="3"/>
        <charset val="134"/>
      </rPr>
      <t>IND,WPN201610U2R2MT,2016,1.9A,120m</t>
    </r>
    <r>
      <rPr>
        <sz val="12"/>
        <rFont val="Calibri"/>
        <family val="2"/>
      </rPr>
      <t>Ω</t>
    </r>
    <r>
      <rPr>
        <sz val="12"/>
        <rFont val="宋体"/>
        <family val="3"/>
        <charset val="134"/>
      </rPr>
      <t>,ROHS</t>
    </r>
    <phoneticPr fontId="4" type="noConversion"/>
  </si>
  <si>
    <r>
      <rPr>
        <sz val="12"/>
        <rFont val="宋体"/>
        <family val="3"/>
        <charset val="134"/>
      </rPr>
      <t>IND,WPN4020H4R7MT,4020,2.85A,108m</t>
    </r>
    <r>
      <rPr>
        <sz val="12"/>
        <rFont val="Calibri"/>
        <family val="2"/>
      </rPr>
      <t>Ω</t>
    </r>
    <r>
      <rPr>
        <sz val="12"/>
        <rFont val="宋体"/>
        <family val="3"/>
        <charset val="134"/>
      </rPr>
      <t>,ROHS</t>
    </r>
    <phoneticPr fontId="4" type="noConversion"/>
  </si>
  <si>
    <t>10-Sololinker-A SDK底板
2023/12/12</t>
    <phoneticPr fontId="4" type="noConversion"/>
  </si>
  <si>
    <t>临时物料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</si>
</sst>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name val="宋体"/>
      <charset val="134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center"/>
    </xf>
    <xf numFmtId="0" fontId="4" fillId="0" borderId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11" borderId="9" applyNumberFormat="0" applyFont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47"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Normal" xfId="1" xr:uid="{F777199D-8CE9-435D-9BD3-6147B073DFA9}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差" xfId="11" builtinId="27" customBuiltin="1"/>
    <cellStyle name="常规" xfId="0" builtinId="0"/>
    <cellStyle name="常规 11 5" xfId="3" xr:uid="{38BA94BB-A9CA-44F6-A1E6-A9548A4A077B}"/>
    <cellStyle name="常规 12" xfId="2" xr:uid="{2BB03206-9673-4892-85A2-0C6BB9CE7819}"/>
    <cellStyle name="常规 13" xfId="4" xr:uid="{6597B69B-3EE7-49FC-99F9-B1B1B5C7A358}"/>
    <cellStyle name="常规 2" xfId="45" xr:uid="{9BA13FE6-C54F-4280-BA69-3B2549A012B1}"/>
    <cellStyle name="好" xfId="10" builtinId="26" customBuiltin="1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警告文本" xfId="18" builtinId="11" customBuiltin="1"/>
    <cellStyle name="链接单元格" xfId="16" builtinId="24" customBuiltin="1"/>
    <cellStyle name="适中" xfId="12" builtinId="28" customBuiltin="1"/>
    <cellStyle name="输出" xfId="14" builtinId="21" customBuiltin="1"/>
    <cellStyle name="输入" xfId="13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 2" xfId="46" xr:uid="{190D20BA-6590-4C30-9CE9-0C772D589654}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5"/>
  <sheetViews>
    <sheetView tabSelected="1" topLeftCell="A51" zoomScaleNormal="100" workbookViewId="0">
      <selection activeCell="A6" sqref="A6:A74"/>
    </sheetView>
  </sheetViews>
  <sheetFormatPr defaultColWidth="0" defaultRowHeight="14.25" customHeight="1" zeroHeight="1" x14ac:dyDescent="0.25"/>
  <cols>
    <col min="1" max="1" width="4.59765625" style="4" customWidth="1"/>
    <col min="2" max="2" width="9.19921875" style="2" customWidth="1"/>
    <col min="3" max="3" width="12" style="2" customWidth="1"/>
    <col min="4" max="4" width="28.8984375" style="2" customWidth="1"/>
    <col min="5" max="5" width="59.8984375" style="2" customWidth="1"/>
    <col min="6" max="6" width="8.796875" style="2" customWidth="1"/>
    <col min="7" max="7" width="56.09765625" style="7" customWidth="1"/>
    <col min="8" max="8" width="19.69921875" style="3" customWidth="1"/>
    <col min="9" max="9" width="5.796875" style="1" customWidth="1"/>
    <col min="10" max="11" width="0" style="1" hidden="1" customWidth="1"/>
    <col min="12" max="16384" width="9" style="1" hidden="1"/>
  </cols>
  <sheetData>
    <row r="1" spans="1:8" ht="14.2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157.80000000000001" customHeight="1" x14ac:dyDescent="0.25">
      <c r="A2" s="15" t="s">
        <v>4</v>
      </c>
      <c r="B2" s="15"/>
      <c r="C2" s="16" t="s">
        <v>223</v>
      </c>
      <c r="D2" s="17"/>
      <c r="E2" s="17"/>
      <c r="F2" s="17"/>
      <c r="G2" s="17"/>
      <c r="H2" s="17"/>
    </row>
    <row r="3" spans="1:8" ht="14.25" customHeight="1" x14ac:dyDescent="0.25">
      <c r="A3" s="13"/>
      <c r="B3" s="13"/>
      <c r="C3" s="13"/>
      <c r="D3" s="13"/>
      <c r="E3" s="13"/>
      <c r="F3" s="13"/>
      <c r="G3" s="13"/>
      <c r="H3" s="13"/>
    </row>
    <row r="4" spans="1:8" ht="14.25" customHeight="1" x14ac:dyDescent="0.25">
      <c r="A4" s="14" t="s">
        <v>1</v>
      </c>
      <c r="B4" s="14"/>
      <c r="C4" s="14"/>
      <c r="D4" s="14"/>
      <c r="E4" s="14"/>
      <c r="F4" s="14"/>
      <c r="G4" s="14"/>
      <c r="H4" s="14"/>
    </row>
    <row r="5" spans="1:8" ht="14.25" customHeight="1" x14ac:dyDescent="0.25">
      <c r="A5" s="8" t="s">
        <v>8</v>
      </c>
      <c r="B5" s="8" t="s">
        <v>22</v>
      </c>
      <c r="C5" s="8" t="s">
        <v>2</v>
      </c>
      <c r="D5" s="8" t="s">
        <v>23</v>
      </c>
      <c r="E5" s="8" t="s">
        <v>24</v>
      </c>
      <c r="F5" s="12" t="s">
        <v>5</v>
      </c>
      <c r="G5" s="8" t="s">
        <v>3</v>
      </c>
      <c r="H5" s="8" t="s">
        <v>6</v>
      </c>
    </row>
    <row r="6" spans="1:8" s="6" customFormat="1" ht="79.2" customHeight="1" x14ac:dyDescent="0.25">
      <c r="A6" s="5">
        <v>1</v>
      </c>
      <c r="B6" s="10"/>
      <c r="C6" s="10" t="s">
        <v>25</v>
      </c>
      <c r="D6" s="10" t="s">
        <v>36</v>
      </c>
      <c r="E6" s="11" t="s">
        <v>35</v>
      </c>
      <c r="F6" s="10">
        <f t="shared" ref="F6:F24" si="0">LENB(G6)-LEN(SUBSTITUTE(G6,",",""))+1</f>
        <v>1</v>
      </c>
      <c r="G6" s="11" t="s">
        <v>26</v>
      </c>
      <c r="H6" s="5"/>
    </row>
    <row r="7" spans="1:8" s="6" customFormat="1" ht="14.25" customHeight="1" x14ac:dyDescent="0.25">
      <c r="A7" s="5">
        <v>2</v>
      </c>
      <c r="B7" s="5"/>
      <c r="C7" s="10" t="s">
        <v>7</v>
      </c>
      <c r="D7" s="10" t="s">
        <v>47</v>
      </c>
      <c r="E7" s="11" t="s">
        <v>48</v>
      </c>
      <c r="F7" s="10">
        <f t="shared" si="0"/>
        <v>1</v>
      </c>
      <c r="G7" s="11" t="s">
        <v>71</v>
      </c>
      <c r="H7" s="5"/>
    </row>
    <row r="8" spans="1:8" s="6" customFormat="1" ht="14.25" customHeight="1" x14ac:dyDescent="0.25">
      <c r="A8" s="5">
        <v>3</v>
      </c>
      <c r="B8" s="5"/>
      <c r="C8" s="10" t="s">
        <v>7</v>
      </c>
      <c r="D8" s="10" t="s">
        <v>143</v>
      </c>
      <c r="E8" s="11" t="s">
        <v>144</v>
      </c>
      <c r="F8" s="10">
        <f t="shared" si="0"/>
        <v>2</v>
      </c>
      <c r="G8" s="11" t="s">
        <v>66</v>
      </c>
      <c r="H8" s="5"/>
    </row>
    <row r="9" spans="1:8" s="6" customFormat="1" ht="15.6" x14ac:dyDescent="0.25">
      <c r="A9" s="5">
        <v>4</v>
      </c>
      <c r="B9" s="5"/>
      <c r="C9" s="10" t="s">
        <v>7</v>
      </c>
      <c r="D9" s="10" t="s">
        <v>145</v>
      </c>
      <c r="E9" s="11" t="s">
        <v>146</v>
      </c>
      <c r="F9" s="10">
        <f t="shared" si="0"/>
        <v>2</v>
      </c>
      <c r="G9" s="11" t="s">
        <v>68</v>
      </c>
      <c r="H9" s="5"/>
    </row>
    <row r="10" spans="1:8" s="6" customFormat="1" ht="15.6" x14ac:dyDescent="0.25">
      <c r="A10" s="5">
        <v>5</v>
      </c>
      <c r="B10" s="5"/>
      <c r="C10" s="10" t="s">
        <v>7</v>
      </c>
      <c r="D10" s="10" t="s">
        <v>147</v>
      </c>
      <c r="E10" s="11" t="s">
        <v>148</v>
      </c>
      <c r="F10" s="10">
        <f t="shared" si="0"/>
        <v>1</v>
      </c>
      <c r="G10" s="11" t="s">
        <v>67</v>
      </c>
      <c r="H10" s="5"/>
    </row>
    <row r="11" spans="1:8" s="6" customFormat="1" ht="15.6" x14ac:dyDescent="0.25">
      <c r="A11" s="5">
        <v>6</v>
      </c>
      <c r="B11" s="5"/>
      <c r="C11" s="10" t="s">
        <v>7</v>
      </c>
      <c r="D11" s="10" t="s">
        <v>49</v>
      </c>
      <c r="E11" s="11" t="s">
        <v>50</v>
      </c>
      <c r="F11" s="10">
        <f t="shared" si="0"/>
        <v>2</v>
      </c>
      <c r="G11" s="11" t="s">
        <v>75</v>
      </c>
      <c r="H11" s="5"/>
    </row>
    <row r="12" spans="1:8" s="6" customFormat="1" ht="31.2" x14ac:dyDescent="0.25">
      <c r="A12" s="5">
        <v>7</v>
      </c>
      <c r="B12" s="5"/>
      <c r="C12" s="10" t="s">
        <v>7</v>
      </c>
      <c r="D12" s="10" t="s">
        <v>149</v>
      </c>
      <c r="E12" s="11" t="s">
        <v>150</v>
      </c>
      <c r="F12" s="10">
        <f t="shared" ref="F12" si="1">LENB(G12)-LEN(SUBSTITUTE(G12,",",""))+1</f>
        <v>14</v>
      </c>
      <c r="G12" s="11" t="s">
        <v>74</v>
      </c>
      <c r="H12" s="5"/>
    </row>
    <row r="13" spans="1:8" s="6" customFormat="1" ht="15.6" x14ac:dyDescent="0.25">
      <c r="A13" s="5">
        <v>8</v>
      </c>
      <c r="B13" s="5"/>
      <c r="C13" s="10" t="s">
        <v>7</v>
      </c>
      <c r="D13" s="10" t="s">
        <v>151</v>
      </c>
      <c r="E13" s="11" t="s">
        <v>152</v>
      </c>
      <c r="F13" s="10">
        <f t="shared" ref="F13" si="2">LENB(G13)-LEN(SUBSTITUTE(G13,",",""))+1</f>
        <v>2</v>
      </c>
      <c r="G13" s="11" t="s">
        <v>69</v>
      </c>
      <c r="H13" s="5"/>
    </row>
    <row r="14" spans="1:8" s="6" customFormat="1" ht="15.6" x14ac:dyDescent="0.25">
      <c r="A14" s="5">
        <v>9</v>
      </c>
      <c r="B14" s="5"/>
      <c r="C14" s="10" t="s">
        <v>7</v>
      </c>
      <c r="D14" s="10" t="s">
        <v>10</v>
      </c>
      <c r="E14" s="11" t="s">
        <v>9</v>
      </c>
      <c r="F14" s="10">
        <f t="shared" si="0"/>
        <v>5</v>
      </c>
      <c r="G14" s="11" t="s">
        <v>65</v>
      </c>
      <c r="H14" s="5"/>
    </row>
    <row r="15" spans="1:8" s="6" customFormat="1" ht="15.6" x14ac:dyDescent="0.25">
      <c r="A15" s="5">
        <v>10</v>
      </c>
      <c r="B15" s="5"/>
      <c r="C15" s="10" t="s">
        <v>7</v>
      </c>
      <c r="D15" s="10" t="s">
        <v>12</v>
      </c>
      <c r="E15" s="11" t="s">
        <v>11</v>
      </c>
      <c r="F15" s="10">
        <f t="shared" ref="F15" si="3">LENB(G15)-LEN(SUBSTITUTE(G15,",",""))+1</f>
        <v>6</v>
      </c>
      <c r="G15" s="11" t="s">
        <v>72</v>
      </c>
      <c r="H15" s="5"/>
    </row>
    <row r="16" spans="1:8" s="6" customFormat="1" ht="15.6" x14ac:dyDescent="0.25">
      <c r="A16" s="5">
        <v>11</v>
      </c>
      <c r="B16" s="5"/>
      <c r="C16" s="10" t="s">
        <v>7</v>
      </c>
      <c r="D16" s="10" t="s">
        <v>153</v>
      </c>
      <c r="E16" s="11" t="s">
        <v>154</v>
      </c>
      <c r="F16" s="10">
        <f t="shared" si="0"/>
        <v>1</v>
      </c>
      <c r="G16" s="11" t="s">
        <v>73</v>
      </c>
      <c r="H16" s="5"/>
    </row>
    <row r="17" spans="1:8" s="6" customFormat="1" ht="31.2" x14ac:dyDescent="0.25">
      <c r="A17" s="5">
        <v>12</v>
      </c>
      <c r="B17" s="5"/>
      <c r="C17" s="10" t="s">
        <v>7</v>
      </c>
      <c r="D17" s="10" t="s">
        <v>14</v>
      </c>
      <c r="E17" s="11" t="s">
        <v>13</v>
      </c>
      <c r="F17" s="10">
        <f t="shared" si="0"/>
        <v>17</v>
      </c>
      <c r="G17" s="11" t="s">
        <v>70</v>
      </c>
      <c r="H17" s="5"/>
    </row>
    <row r="18" spans="1:8" s="6" customFormat="1" ht="15.6" x14ac:dyDescent="0.25">
      <c r="A18" s="5">
        <v>13</v>
      </c>
      <c r="B18" s="5"/>
      <c r="C18" s="10" t="s">
        <v>7</v>
      </c>
      <c r="D18" s="10" t="s">
        <v>16</v>
      </c>
      <c r="E18" s="11" t="s">
        <v>15</v>
      </c>
      <c r="F18" s="10">
        <f t="shared" si="0"/>
        <v>7</v>
      </c>
      <c r="G18" s="11" t="s">
        <v>96</v>
      </c>
      <c r="H18" s="5"/>
    </row>
    <row r="19" spans="1:8" s="6" customFormat="1" ht="15.6" x14ac:dyDescent="0.25">
      <c r="A19" s="5">
        <v>14</v>
      </c>
      <c r="B19" s="5"/>
      <c r="C19" s="10" t="s">
        <v>7</v>
      </c>
      <c r="D19" s="10" t="s">
        <v>155</v>
      </c>
      <c r="E19" s="11" t="s">
        <v>156</v>
      </c>
      <c r="F19" s="10">
        <f t="shared" ref="F19" si="4">LENB(G19)-LEN(SUBSTITUTE(G19,",",""))+1</f>
        <v>2</v>
      </c>
      <c r="G19" s="11" t="s">
        <v>103</v>
      </c>
      <c r="H19" s="5"/>
    </row>
    <row r="20" spans="1:8" s="6" customFormat="1" ht="15.6" x14ac:dyDescent="0.25">
      <c r="A20" s="5">
        <v>15</v>
      </c>
      <c r="B20" s="5"/>
      <c r="C20" s="10" t="s">
        <v>7</v>
      </c>
      <c r="D20" s="10" t="s">
        <v>157</v>
      </c>
      <c r="E20" s="11" t="s">
        <v>158</v>
      </c>
      <c r="F20" s="10">
        <f t="shared" si="0"/>
        <v>1</v>
      </c>
      <c r="G20" s="11" t="s">
        <v>102</v>
      </c>
      <c r="H20" s="5"/>
    </row>
    <row r="21" spans="1:8" s="6" customFormat="1" ht="31.2" x14ac:dyDescent="0.25">
      <c r="A21" s="5">
        <v>16</v>
      </c>
      <c r="B21" s="5"/>
      <c r="C21" s="10" t="s">
        <v>7</v>
      </c>
      <c r="D21" s="10" t="s">
        <v>30</v>
      </c>
      <c r="E21" s="11" t="s">
        <v>31</v>
      </c>
      <c r="F21" s="10">
        <f t="shared" si="0"/>
        <v>9</v>
      </c>
      <c r="G21" s="11" t="s">
        <v>100</v>
      </c>
      <c r="H21" s="5"/>
    </row>
    <row r="22" spans="1:8" s="6" customFormat="1" ht="14.25" customHeight="1" x14ac:dyDescent="0.25">
      <c r="A22" s="5">
        <v>17</v>
      </c>
      <c r="B22" s="5"/>
      <c r="C22" s="10" t="s">
        <v>7</v>
      </c>
      <c r="D22" s="10" t="s">
        <v>159</v>
      </c>
      <c r="E22" s="11" t="s">
        <v>160</v>
      </c>
      <c r="F22" s="10">
        <f>LENB(G22)-LEN(SUBSTITUTE(G22,",",""))+1</f>
        <v>1</v>
      </c>
      <c r="G22" s="11" t="s">
        <v>95</v>
      </c>
      <c r="H22" s="5"/>
    </row>
    <row r="23" spans="1:8" s="6" customFormat="1" ht="15.6" x14ac:dyDescent="0.25">
      <c r="A23" s="5">
        <v>18</v>
      </c>
      <c r="B23" s="5"/>
      <c r="C23" s="10" t="s">
        <v>7</v>
      </c>
      <c r="D23" s="10" t="s">
        <v>161</v>
      </c>
      <c r="E23" s="11" t="s">
        <v>162</v>
      </c>
      <c r="F23" s="10">
        <f t="shared" si="0"/>
        <v>2</v>
      </c>
      <c r="G23" s="11" t="s">
        <v>88</v>
      </c>
      <c r="H23" s="5"/>
    </row>
    <row r="24" spans="1:8" s="6" customFormat="1" ht="15.6" x14ac:dyDescent="0.25">
      <c r="A24" s="5">
        <v>19</v>
      </c>
      <c r="B24" s="5"/>
      <c r="C24" s="10" t="s">
        <v>7</v>
      </c>
      <c r="D24" s="10" t="s">
        <v>163</v>
      </c>
      <c r="E24" s="11" t="s">
        <v>164</v>
      </c>
      <c r="F24" s="10">
        <f t="shared" si="0"/>
        <v>2</v>
      </c>
      <c r="G24" s="11" t="s">
        <v>37</v>
      </c>
      <c r="H24" s="5"/>
    </row>
    <row r="25" spans="1:8" s="6" customFormat="1" ht="15.6" x14ac:dyDescent="0.25">
      <c r="A25" s="5">
        <v>20</v>
      </c>
      <c r="B25" s="5"/>
      <c r="C25" s="10" t="s">
        <v>7</v>
      </c>
      <c r="D25" s="10" t="s">
        <v>165</v>
      </c>
      <c r="E25" s="11" t="s">
        <v>166</v>
      </c>
      <c r="F25" s="10">
        <f t="shared" ref="F25:F46" si="5">LENB(G25)-LEN(SUBSTITUTE(G25,",",""))+1</f>
        <v>6</v>
      </c>
      <c r="G25" s="11" t="s">
        <v>91</v>
      </c>
      <c r="H25" s="5"/>
    </row>
    <row r="26" spans="1:8" s="6" customFormat="1" ht="15.6" x14ac:dyDescent="0.25">
      <c r="A26" s="5">
        <v>21</v>
      </c>
      <c r="B26" s="5"/>
      <c r="C26" s="10" t="s">
        <v>7</v>
      </c>
      <c r="D26" s="10" t="s">
        <v>167</v>
      </c>
      <c r="E26" s="11" t="s">
        <v>168</v>
      </c>
      <c r="F26" s="10">
        <f t="shared" si="5"/>
        <v>1</v>
      </c>
      <c r="G26" s="11" t="s">
        <v>90</v>
      </c>
      <c r="H26" s="5"/>
    </row>
    <row r="27" spans="1:8" s="6" customFormat="1" ht="15.6" x14ac:dyDescent="0.25">
      <c r="A27" s="5">
        <v>22</v>
      </c>
      <c r="B27" s="5"/>
      <c r="C27" s="10" t="s">
        <v>7</v>
      </c>
      <c r="D27" s="10" t="s">
        <v>169</v>
      </c>
      <c r="E27" s="11" t="s">
        <v>170</v>
      </c>
      <c r="F27" s="10">
        <f t="shared" ref="F27:F28" si="6">LENB(G27)-LEN(SUBSTITUTE(G27,",",""))+1</f>
        <v>1</v>
      </c>
      <c r="G27" s="11" t="s">
        <v>101</v>
      </c>
      <c r="H27" s="5"/>
    </row>
    <row r="28" spans="1:8" s="6" customFormat="1" ht="15.6" x14ac:dyDescent="0.25">
      <c r="A28" s="5">
        <v>23</v>
      </c>
      <c r="B28" s="5"/>
      <c r="C28" s="10" t="s">
        <v>7</v>
      </c>
      <c r="D28" s="10" t="s">
        <v>171</v>
      </c>
      <c r="E28" s="11" t="s">
        <v>172</v>
      </c>
      <c r="F28" s="10">
        <f t="shared" si="6"/>
        <v>1</v>
      </c>
      <c r="G28" s="11" t="s">
        <v>87</v>
      </c>
      <c r="H28" s="5"/>
    </row>
    <row r="29" spans="1:8" s="6" customFormat="1" ht="15.6" x14ac:dyDescent="0.25">
      <c r="A29" s="5">
        <v>24</v>
      </c>
      <c r="B29" s="5"/>
      <c r="C29" s="10" t="s">
        <v>7</v>
      </c>
      <c r="D29" s="10" t="s">
        <v>173</v>
      </c>
      <c r="E29" s="11" t="s">
        <v>174</v>
      </c>
      <c r="F29" s="10">
        <f t="shared" si="5"/>
        <v>6</v>
      </c>
      <c r="G29" s="11" t="s">
        <v>86</v>
      </c>
      <c r="H29" s="5"/>
    </row>
    <row r="30" spans="1:8" s="6" customFormat="1" ht="15.6" x14ac:dyDescent="0.25">
      <c r="A30" s="5">
        <v>25</v>
      </c>
      <c r="B30" s="5"/>
      <c r="C30" s="10" t="s">
        <v>7</v>
      </c>
      <c r="D30" s="10" t="s">
        <v>175</v>
      </c>
      <c r="E30" s="11" t="s">
        <v>176</v>
      </c>
      <c r="F30" s="10">
        <f t="shared" si="5"/>
        <v>1</v>
      </c>
      <c r="G30" s="11" t="s">
        <v>99</v>
      </c>
      <c r="H30" s="5"/>
    </row>
    <row r="31" spans="1:8" s="6" customFormat="1" ht="15.6" x14ac:dyDescent="0.25">
      <c r="A31" s="5">
        <v>26</v>
      </c>
      <c r="B31" s="5"/>
      <c r="C31" s="10" t="s">
        <v>7</v>
      </c>
      <c r="D31" s="10" t="s">
        <v>32</v>
      </c>
      <c r="E31" s="11" t="s">
        <v>33</v>
      </c>
      <c r="F31" s="10">
        <f t="shared" si="5"/>
        <v>7</v>
      </c>
      <c r="G31" s="11" t="s">
        <v>89</v>
      </c>
      <c r="H31" s="5"/>
    </row>
    <row r="32" spans="1:8" s="6" customFormat="1" ht="15.6" x14ac:dyDescent="0.25">
      <c r="A32" s="5">
        <v>27</v>
      </c>
      <c r="B32" s="5"/>
      <c r="C32" s="10"/>
      <c r="D32" s="10"/>
      <c r="E32" s="11" t="s">
        <v>85</v>
      </c>
      <c r="F32" s="10">
        <f t="shared" si="5"/>
        <v>1</v>
      </c>
      <c r="G32" s="11" t="s">
        <v>84</v>
      </c>
      <c r="H32" s="5"/>
    </row>
    <row r="33" spans="1:8" s="6" customFormat="1" ht="15.6" x14ac:dyDescent="0.25">
      <c r="A33" s="5">
        <v>28</v>
      </c>
      <c r="B33" s="5"/>
      <c r="C33" s="10" t="s">
        <v>7</v>
      </c>
      <c r="D33" s="10" t="s">
        <v>51</v>
      </c>
      <c r="E33" s="11" t="s">
        <v>52</v>
      </c>
      <c r="F33" s="10">
        <f t="shared" si="5"/>
        <v>1</v>
      </c>
      <c r="G33" s="11" t="s">
        <v>98</v>
      </c>
      <c r="H33" s="5"/>
    </row>
    <row r="34" spans="1:8" s="6" customFormat="1" ht="15.6" x14ac:dyDescent="0.25">
      <c r="A34" s="5">
        <v>29</v>
      </c>
      <c r="B34" s="5"/>
      <c r="C34" s="10" t="s">
        <v>7</v>
      </c>
      <c r="D34" s="10" t="s">
        <v>177</v>
      </c>
      <c r="E34" s="11" t="s">
        <v>178</v>
      </c>
      <c r="F34" s="10">
        <f t="shared" si="5"/>
        <v>4</v>
      </c>
      <c r="G34" s="11" t="s">
        <v>38</v>
      </c>
      <c r="H34" s="5"/>
    </row>
    <row r="35" spans="1:8" s="6" customFormat="1" ht="15.6" x14ac:dyDescent="0.25">
      <c r="A35" s="5">
        <v>30</v>
      </c>
      <c r="B35" s="5"/>
      <c r="C35" s="10" t="s">
        <v>7</v>
      </c>
      <c r="D35" s="10" t="s">
        <v>179</v>
      </c>
      <c r="E35" s="11" t="s">
        <v>180</v>
      </c>
      <c r="F35" s="10">
        <f t="shared" si="5"/>
        <v>1</v>
      </c>
      <c r="G35" s="11" t="s">
        <v>97</v>
      </c>
      <c r="H35" s="5"/>
    </row>
    <row r="36" spans="1:8" s="6" customFormat="1" ht="15.6" x14ac:dyDescent="0.25">
      <c r="A36" s="5">
        <v>31</v>
      </c>
      <c r="B36" s="5"/>
      <c r="C36" s="10"/>
      <c r="D36" s="10"/>
      <c r="E36" s="11" t="s">
        <v>94</v>
      </c>
      <c r="F36" s="10">
        <f t="shared" si="5"/>
        <v>2</v>
      </c>
      <c r="G36" s="11" t="s">
        <v>93</v>
      </c>
      <c r="H36" s="5"/>
    </row>
    <row r="37" spans="1:8" s="6" customFormat="1" ht="15.6" x14ac:dyDescent="0.25">
      <c r="A37" s="5">
        <v>32</v>
      </c>
      <c r="B37" s="5"/>
      <c r="C37" s="10" t="s">
        <v>7</v>
      </c>
      <c r="D37" s="10" t="s">
        <v>181</v>
      </c>
      <c r="E37" s="11" t="s">
        <v>182</v>
      </c>
      <c r="F37" s="10">
        <f t="shared" si="5"/>
        <v>2</v>
      </c>
      <c r="G37" s="11" t="s">
        <v>92</v>
      </c>
      <c r="H37" s="5"/>
    </row>
    <row r="38" spans="1:8" s="6" customFormat="1" ht="15.6" x14ac:dyDescent="0.25">
      <c r="A38" s="5">
        <v>33</v>
      </c>
      <c r="B38" s="10"/>
      <c r="C38" s="10" t="s">
        <v>18</v>
      </c>
      <c r="D38" s="10" t="s">
        <v>20</v>
      </c>
      <c r="E38" s="11" t="s">
        <v>21</v>
      </c>
      <c r="F38" s="10">
        <f t="shared" si="5"/>
        <v>2</v>
      </c>
      <c r="G38" s="11" t="s">
        <v>79</v>
      </c>
      <c r="H38" s="5"/>
    </row>
    <row r="39" spans="1:8" s="6" customFormat="1" ht="14.25" customHeight="1" x14ac:dyDescent="0.25">
      <c r="A39" s="5">
        <v>34</v>
      </c>
      <c r="B39" s="5"/>
      <c r="C39" s="10" t="s">
        <v>54</v>
      </c>
      <c r="D39" s="10" t="s">
        <v>55</v>
      </c>
      <c r="E39" s="11" t="s">
        <v>56</v>
      </c>
      <c r="F39" s="10">
        <f t="shared" si="5"/>
        <v>1</v>
      </c>
      <c r="G39" s="11" t="s">
        <v>40</v>
      </c>
      <c r="H39" s="5"/>
    </row>
    <row r="40" spans="1:8" s="6" customFormat="1" ht="14.25" customHeight="1" x14ac:dyDescent="0.25">
      <c r="A40" s="5">
        <v>35</v>
      </c>
      <c r="B40" s="5"/>
      <c r="C40" s="10" t="s">
        <v>57</v>
      </c>
      <c r="D40" s="10" t="s">
        <v>58</v>
      </c>
      <c r="E40" s="11" t="s">
        <v>59</v>
      </c>
      <c r="F40" s="10">
        <f t="shared" si="5"/>
        <v>1</v>
      </c>
      <c r="G40" s="11" t="s">
        <v>34</v>
      </c>
      <c r="H40" s="5"/>
    </row>
    <row r="41" spans="1:8" s="6" customFormat="1" ht="14.25" customHeight="1" x14ac:dyDescent="0.25">
      <c r="A41" s="5">
        <v>36</v>
      </c>
      <c r="B41" s="5"/>
      <c r="C41" s="10" t="s">
        <v>43</v>
      </c>
      <c r="D41" s="10" t="s">
        <v>41</v>
      </c>
      <c r="E41" s="11" t="s">
        <v>42</v>
      </c>
      <c r="F41" s="10">
        <f t="shared" ref="F41" si="7">LENB(G41)-LEN(SUBSTITUTE(G41,",",""))+1</f>
        <v>2</v>
      </c>
      <c r="G41" s="11" t="s">
        <v>76</v>
      </c>
      <c r="H41" s="5"/>
    </row>
    <row r="42" spans="1:8" s="6" customFormat="1" ht="14.25" customHeight="1" x14ac:dyDescent="0.25">
      <c r="A42" s="5">
        <v>37</v>
      </c>
      <c r="B42" s="5"/>
      <c r="C42" s="10" t="s">
        <v>18</v>
      </c>
      <c r="D42" s="10" t="s">
        <v>183</v>
      </c>
      <c r="E42" s="11" t="s">
        <v>184</v>
      </c>
      <c r="F42" s="10">
        <f t="shared" si="5"/>
        <v>8</v>
      </c>
      <c r="G42" s="11" t="s">
        <v>80</v>
      </c>
      <c r="H42" s="5"/>
    </row>
    <row r="43" spans="1:8" s="6" customFormat="1" ht="14.25" customHeight="1" x14ac:dyDescent="0.25">
      <c r="A43" s="5">
        <v>38</v>
      </c>
      <c r="B43" s="5"/>
      <c r="C43" s="10" t="s">
        <v>43</v>
      </c>
      <c r="D43" s="10" t="s">
        <v>44</v>
      </c>
      <c r="E43" s="11" t="s">
        <v>45</v>
      </c>
      <c r="F43" s="10">
        <f t="shared" si="5"/>
        <v>1</v>
      </c>
      <c r="G43" s="11" t="s">
        <v>81</v>
      </c>
      <c r="H43" s="5"/>
    </row>
    <row r="44" spans="1:8" s="6" customFormat="1" ht="15.6" x14ac:dyDescent="0.25">
      <c r="A44" s="5">
        <v>39</v>
      </c>
      <c r="B44" s="5"/>
      <c r="C44" s="10" t="s">
        <v>17</v>
      </c>
      <c r="D44" s="10" t="s">
        <v>27</v>
      </c>
      <c r="E44" s="11" t="s">
        <v>28</v>
      </c>
      <c r="F44" s="10">
        <f t="shared" ref="F44:F45" si="8">LENB(G44)-LEN(SUBSTITUTE(G44,",",""))+1</f>
        <v>1</v>
      </c>
      <c r="G44" s="11" t="s">
        <v>82</v>
      </c>
      <c r="H44" s="5"/>
    </row>
    <row r="45" spans="1:8" s="6" customFormat="1" ht="15.6" x14ac:dyDescent="0.25">
      <c r="A45" s="5">
        <v>40</v>
      </c>
      <c r="B45" s="5"/>
      <c r="C45" s="10" t="s">
        <v>17</v>
      </c>
      <c r="D45" s="10" t="s">
        <v>185</v>
      </c>
      <c r="E45" s="11" t="s">
        <v>186</v>
      </c>
      <c r="F45" s="10">
        <f t="shared" si="8"/>
        <v>2</v>
      </c>
      <c r="G45" s="11" t="s">
        <v>104</v>
      </c>
      <c r="H45" s="5"/>
    </row>
    <row r="46" spans="1:8" s="6" customFormat="1" ht="15.6" x14ac:dyDescent="0.25">
      <c r="A46" s="5">
        <v>41</v>
      </c>
      <c r="B46" s="5"/>
      <c r="C46" s="10" t="s">
        <v>17</v>
      </c>
      <c r="D46" s="10" t="s">
        <v>187</v>
      </c>
      <c r="E46" s="11" t="s">
        <v>188</v>
      </c>
      <c r="F46" s="10">
        <f t="shared" si="5"/>
        <v>1</v>
      </c>
      <c r="G46" s="11" t="s">
        <v>83</v>
      </c>
      <c r="H46" s="5"/>
    </row>
    <row r="47" spans="1:8" s="6" customFormat="1" ht="14.25" customHeight="1" x14ac:dyDescent="0.25">
      <c r="A47" s="5">
        <v>42</v>
      </c>
      <c r="B47" s="5"/>
      <c r="C47" s="10" t="s">
        <v>19</v>
      </c>
      <c r="D47" s="10" t="s">
        <v>189</v>
      </c>
      <c r="E47" s="11" t="s">
        <v>190</v>
      </c>
      <c r="F47" s="10"/>
      <c r="G47" s="11" t="s">
        <v>106</v>
      </c>
      <c r="H47" s="5"/>
    </row>
    <row r="48" spans="1:8" s="6" customFormat="1" ht="31.2" x14ac:dyDescent="0.25">
      <c r="A48" s="5">
        <v>43</v>
      </c>
      <c r="B48" s="5"/>
      <c r="C48" s="10" t="s">
        <v>19</v>
      </c>
      <c r="D48" s="10" t="s">
        <v>46</v>
      </c>
      <c r="E48" s="11" t="s">
        <v>108</v>
      </c>
      <c r="F48" s="10"/>
      <c r="G48" s="11" t="s">
        <v>107</v>
      </c>
      <c r="H48" s="5"/>
    </row>
    <row r="49" spans="1:8" s="6" customFormat="1" ht="31.2" x14ac:dyDescent="0.25">
      <c r="A49" s="5">
        <v>44</v>
      </c>
      <c r="B49" s="5"/>
      <c r="C49" s="10" t="s">
        <v>19</v>
      </c>
      <c r="D49" s="10" t="s">
        <v>60</v>
      </c>
      <c r="E49" s="11" t="s">
        <v>61</v>
      </c>
      <c r="F49" s="10"/>
      <c r="G49" s="11" t="s">
        <v>109</v>
      </c>
      <c r="H49" s="5"/>
    </row>
    <row r="50" spans="1:8" s="6" customFormat="1" ht="31.2" x14ac:dyDescent="0.25">
      <c r="A50" s="5">
        <v>45</v>
      </c>
      <c r="B50" s="5"/>
      <c r="C50" s="10" t="s">
        <v>191</v>
      </c>
      <c r="D50" s="10" t="s">
        <v>192</v>
      </c>
      <c r="E50" s="11" t="s">
        <v>193</v>
      </c>
      <c r="F50" s="10"/>
      <c r="G50" s="11" t="s">
        <v>111</v>
      </c>
      <c r="H50" s="5"/>
    </row>
    <row r="51" spans="1:8" s="6" customFormat="1" ht="14.25" customHeight="1" x14ac:dyDescent="0.25">
      <c r="A51" s="5">
        <v>46</v>
      </c>
      <c r="B51" s="5"/>
      <c r="C51" s="10" t="s">
        <v>19</v>
      </c>
      <c r="D51" s="10" t="s">
        <v>194</v>
      </c>
      <c r="E51" s="11" t="s">
        <v>195</v>
      </c>
      <c r="F51" s="10"/>
      <c r="G51" s="11" t="s">
        <v>112</v>
      </c>
      <c r="H51" s="5"/>
    </row>
    <row r="52" spans="1:8" s="6" customFormat="1" ht="14.25" customHeight="1" x14ac:dyDescent="0.25">
      <c r="A52" s="5">
        <v>47</v>
      </c>
      <c r="B52" s="5"/>
      <c r="C52" s="10" t="s">
        <v>19</v>
      </c>
      <c r="D52" s="10" t="s">
        <v>196</v>
      </c>
      <c r="E52" s="11" t="s">
        <v>197</v>
      </c>
      <c r="F52" s="10"/>
      <c r="G52" s="11" t="s">
        <v>113</v>
      </c>
      <c r="H52" s="5"/>
    </row>
    <row r="53" spans="1:8" s="6" customFormat="1" ht="14.25" customHeight="1" x14ac:dyDescent="0.25">
      <c r="A53" s="5">
        <v>48</v>
      </c>
      <c r="B53" s="5"/>
      <c r="C53" s="10" t="s">
        <v>19</v>
      </c>
      <c r="D53" s="10" t="s">
        <v>198</v>
      </c>
      <c r="E53" s="11" t="s">
        <v>199</v>
      </c>
      <c r="F53" s="10"/>
      <c r="G53" s="11" t="s">
        <v>114</v>
      </c>
      <c r="H53" s="5"/>
    </row>
    <row r="54" spans="1:8" s="6" customFormat="1" ht="14.25" customHeight="1" x14ac:dyDescent="0.25">
      <c r="A54" s="5">
        <v>49</v>
      </c>
      <c r="B54" s="5"/>
      <c r="C54" s="10" t="s">
        <v>19</v>
      </c>
      <c r="D54" s="10" t="s">
        <v>200</v>
      </c>
      <c r="E54" s="11" t="s">
        <v>201</v>
      </c>
      <c r="F54" s="10"/>
      <c r="G54" s="11" t="s">
        <v>120</v>
      </c>
      <c r="H54" s="5"/>
    </row>
    <row r="55" spans="1:8" s="6" customFormat="1" ht="16.2" x14ac:dyDescent="0.25">
      <c r="A55" s="5">
        <v>50</v>
      </c>
      <c r="B55" s="5"/>
      <c r="C55" s="10" t="s">
        <v>17</v>
      </c>
      <c r="D55" s="10" t="s">
        <v>62</v>
      </c>
      <c r="E55" s="9" t="s">
        <v>221</v>
      </c>
      <c r="F55" s="10"/>
      <c r="G55" s="11" t="s">
        <v>121</v>
      </c>
      <c r="H55" s="5"/>
    </row>
    <row r="56" spans="1:8" s="6" customFormat="1" ht="16.2" x14ac:dyDescent="0.25">
      <c r="A56" s="5">
        <v>51</v>
      </c>
      <c r="B56" s="5"/>
      <c r="C56" s="10" t="s">
        <v>17</v>
      </c>
      <c r="D56" s="10" t="s">
        <v>202</v>
      </c>
      <c r="E56" s="9" t="s">
        <v>222</v>
      </c>
      <c r="F56" s="10"/>
      <c r="G56" s="11" t="s">
        <v>122</v>
      </c>
      <c r="H56" s="5"/>
    </row>
    <row r="57" spans="1:8" s="6" customFormat="1" ht="15.6" x14ac:dyDescent="0.25">
      <c r="A57" s="5">
        <v>52</v>
      </c>
      <c r="B57" s="5"/>
      <c r="C57" s="10" t="s">
        <v>29</v>
      </c>
      <c r="D57" s="10" t="s">
        <v>203</v>
      </c>
      <c r="E57" s="11" t="s">
        <v>124</v>
      </c>
      <c r="F57" s="10"/>
      <c r="G57" s="11" t="s">
        <v>123</v>
      </c>
      <c r="H57" s="5"/>
    </row>
    <row r="58" spans="1:8" s="6" customFormat="1" ht="15.6" x14ac:dyDescent="0.25">
      <c r="A58" s="5">
        <v>53</v>
      </c>
      <c r="B58" s="5"/>
      <c r="C58" s="10" t="s">
        <v>29</v>
      </c>
      <c r="D58" s="10" t="s">
        <v>63</v>
      </c>
      <c r="E58" s="11" t="s">
        <v>64</v>
      </c>
      <c r="F58" s="10"/>
      <c r="G58" s="11" t="s">
        <v>125</v>
      </c>
      <c r="H58" s="5"/>
    </row>
    <row r="59" spans="1:8" s="6" customFormat="1" ht="15.6" x14ac:dyDescent="0.25">
      <c r="A59" s="5">
        <v>54</v>
      </c>
      <c r="B59" s="5"/>
      <c r="C59" s="10" t="s">
        <v>19</v>
      </c>
      <c r="D59" s="10" t="s">
        <v>53</v>
      </c>
      <c r="E59" s="11" t="s">
        <v>39</v>
      </c>
      <c r="F59" s="10"/>
      <c r="G59" s="11" t="s">
        <v>126</v>
      </c>
      <c r="H59" s="5"/>
    </row>
    <row r="60" spans="1:8" s="6" customFormat="1" ht="15.6" x14ac:dyDescent="0.25">
      <c r="A60" s="5">
        <v>55</v>
      </c>
      <c r="B60" s="5"/>
      <c r="C60" s="10" t="s">
        <v>204</v>
      </c>
      <c r="D60" s="10" t="s">
        <v>205</v>
      </c>
      <c r="E60" s="11" t="s">
        <v>206</v>
      </c>
      <c r="F60" s="10"/>
      <c r="G60" s="11" t="s">
        <v>130</v>
      </c>
      <c r="H60" s="5"/>
    </row>
    <row r="61" spans="1:8" s="6" customFormat="1" ht="14.25" customHeight="1" x14ac:dyDescent="0.25">
      <c r="A61" s="5">
        <v>56</v>
      </c>
      <c r="B61" s="5"/>
      <c r="C61" s="10" t="s">
        <v>207</v>
      </c>
      <c r="D61" s="10" t="s">
        <v>208</v>
      </c>
      <c r="E61" s="11" t="s">
        <v>132</v>
      </c>
      <c r="F61" s="10"/>
      <c r="G61" s="11" t="s">
        <v>131</v>
      </c>
      <c r="H61" s="5"/>
    </row>
    <row r="62" spans="1:8" s="6" customFormat="1" ht="14.25" customHeight="1" x14ac:dyDescent="0.25">
      <c r="A62" s="5">
        <v>57</v>
      </c>
      <c r="B62" s="5"/>
      <c r="C62" s="10" t="s">
        <v>209</v>
      </c>
      <c r="D62" s="10" t="s">
        <v>210</v>
      </c>
      <c r="E62" s="11" t="s">
        <v>211</v>
      </c>
      <c r="F62" s="10"/>
      <c r="G62" s="11" t="s">
        <v>133</v>
      </c>
      <c r="H62" s="5"/>
    </row>
    <row r="63" spans="1:8" s="6" customFormat="1" ht="14.25" customHeight="1" x14ac:dyDescent="0.25">
      <c r="A63" s="5">
        <v>58</v>
      </c>
      <c r="B63" s="5"/>
      <c r="C63" s="10" t="s">
        <v>212</v>
      </c>
      <c r="D63" s="10" t="s">
        <v>213</v>
      </c>
      <c r="E63" s="11" t="s">
        <v>214</v>
      </c>
      <c r="F63" s="10"/>
      <c r="G63" s="11" t="s">
        <v>134</v>
      </c>
      <c r="H63" s="5"/>
    </row>
    <row r="64" spans="1:8" s="6" customFormat="1" ht="14.25" customHeight="1" x14ac:dyDescent="0.25">
      <c r="A64" s="5">
        <v>59</v>
      </c>
      <c r="B64" s="5"/>
      <c r="C64" s="10" t="s">
        <v>215</v>
      </c>
      <c r="D64" s="10" t="s">
        <v>216</v>
      </c>
      <c r="E64" s="11" t="s">
        <v>217</v>
      </c>
      <c r="F64" s="10"/>
      <c r="G64" s="11" t="s">
        <v>137</v>
      </c>
      <c r="H64" s="5"/>
    </row>
    <row r="65" spans="1:8" s="6" customFormat="1" ht="14.25" customHeight="1" x14ac:dyDescent="0.25">
      <c r="A65" s="5">
        <v>60</v>
      </c>
      <c r="B65" s="5"/>
      <c r="C65" s="10" t="s">
        <v>218</v>
      </c>
      <c r="D65" s="10" t="s">
        <v>219</v>
      </c>
      <c r="E65" s="11" t="s">
        <v>220</v>
      </c>
      <c r="F65" s="10"/>
      <c r="G65" s="11" t="s">
        <v>142</v>
      </c>
      <c r="H65" s="5"/>
    </row>
    <row r="66" spans="1:8" s="6" customFormat="1" ht="15.6" x14ac:dyDescent="0.25">
      <c r="A66" s="5">
        <v>61</v>
      </c>
      <c r="B66" s="5"/>
      <c r="C66" s="10"/>
      <c r="D66" s="10" t="s">
        <v>224</v>
      </c>
      <c r="E66" s="11" t="s">
        <v>78</v>
      </c>
      <c r="F66" s="10"/>
      <c r="G66" s="11" t="s">
        <v>77</v>
      </c>
      <c r="H66" s="5"/>
    </row>
    <row r="67" spans="1:8" s="6" customFormat="1" ht="14.25" customHeight="1" x14ac:dyDescent="0.25">
      <c r="A67" s="5">
        <v>62</v>
      </c>
      <c r="B67" s="5"/>
      <c r="C67" s="10"/>
      <c r="D67" s="10" t="s">
        <v>224</v>
      </c>
      <c r="E67" s="11" t="s">
        <v>129</v>
      </c>
      <c r="F67" s="10"/>
      <c r="G67" s="11" t="s">
        <v>105</v>
      </c>
      <c r="H67" s="5"/>
    </row>
    <row r="68" spans="1:8" s="6" customFormat="1" ht="14.25" customHeight="1" x14ac:dyDescent="0.25">
      <c r="A68" s="5">
        <v>63</v>
      </c>
      <c r="B68" s="5"/>
      <c r="C68" s="10"/>
      <c r="D68" s="10" t="s">
        <v>224</v>
      </c>
      <c r="E68" s="11" t="s">
        <v>139</v>
      </c>
      <c r="F68" s="10"/>
      <c r="G68" s="11" t="s">
        <v>138</v>
      </c>
      <c r="H68" s="5"/>
    </row>
    <row r="69" spans="1:8" s="6" customFormat="1" ht="14.25" customHeight="1" x14ac:dyDescent="0.25">
      <c r="A69" s="5">
        <v>64</v>
      </c>
      <c r="B69" s="5"/>
      <c r="C69" s="10"/>
      <c r="D69" s="10" t="s">
        <v>224</v>
      </c>
      <c r="E69" s="11" t="s">
        <v>141</v>
      </c>
      <c r="F69" s="10"/>
      <c r="G69" s="11" t="s">
        <v>140</v>
      </c>
      <c r="H69" s="5"/>
    </row>
    <row r="70" spans="1:8" s="6" customFormat="1" ht="14.25" customHeight="1" x14ac:dyDescent="0.25">
      <c r="A70" s="5">
        <v>65</v>
      </c>
      <c r="B70" s="5"/>
      <c r="C70" s="10"/>
      <c r="D70" s="10" t="s">
        <v>224</v>
      </c>
      <c r="E70" s="11" t="s">
        <v>136</v>
      </c>
      <c r="F70" s="10"/>
      <c r="G70" s="11" t="s">
        <v>135</v>
      </c>
      <c r="H70" s="5"/>
    </row>
    <row r="71" spans="1:8" s="6" customFormat="1" ht="15.6" x14ac:dyDescent="0.25">
      <c r="A71" s="5">
        <v>66</v>
      </c>
      <c r="B71" s="5"/>
      <c r="C71" s="10"/>
      <c r="D71" s="10" t="s">
        <v>224</v>
      </c>
      <c r="E71" s="11" t="s">
        <v>128</v>
      </c>
      <c r="F71" s="10"/>
      <c r="G71" s="11" t="s">
        <v>127</v>
      </c>
      <c r="H71" s="5"/>
    </row>
    <row r="72" spans="1:8" s="6" customFormat="1" ht="15.6" x14ac:dyDescent="0.25">
      <c r="A72" s="5">
        <v>67</v>
      </c>
      <c r="B72" s="5"/>
      <c r="C72" s="10"/>
      <c r="D72" s="10" t="s">
        <v>224</v>
      </c>
      <c r="E72" s="11" t="s">
        <v>116</v>
      </c>
      <c r="F72" s="10"/>
      <c r="G72" s="11" t="s">
        <v>115</v>
      </c>
      <c r="H72" s="5"/>
    </row>
    <row r="73" spans="1:8" s="6" customFormat="1" ht="15.6" x14ac:dyDescent="0.25">
      <c r="A73" s="5">
        <v>68</v>
      </c>
      <c r="B73" s="5"/>
      <c r="C73" s="10"/>
      <c r="D73" s="10" t="s">
        <v>224</v>
      </c>
      <c r="E73" s="11" t="s">
        <v>119</v>
      </c>
      <c r="F73" s="10"/>
      <c r="G73" s="11" t="s">
        <v>118</v>
      </c>
      <c r="H73" s="5"/>
    </row>
    <row r="74" spans="1:8" s="6" customFormat="1" ht="15.6" x14ac:dyDescent="0.25">
      <c r="A74" s="5">
        <v>69</v>
      </c>
      <c r="B74" s="5"/>
      <c r="C74" s="10"/>
      <c r="D74" s="10" t="s">
        <v>224</v>
      </c>
      <c r="E74" s="11" t="s">
        <v>117</v>
      </c>
      <c r="F74" s="10"/>
      <c r="G74" s="11" t="s">
        <v>110</v>
      </c>
      <c r="H74" s="5"/>
    </row>
    <row r="75" spans="1:8" ht="14.25" customHeight="1" x14ac:dyDescent="0.25"/>
    <row r="76" spans="1:8" ht="14.25" customHeight="1" x14ac:dyDescent="0.25"/>
    <row r="77" spans="1:8" ht="14.25" customHeight="1" x14ac:dyDescent="0.25"/>
    <row r="78" spans="1:8" ht="14.25" customHeight="1" x14ac:dyDescent="0.25"/>
    <row r="79" spans="1:8" ht="14.25" customHeight="1" x14ac:dyDescent="0.25"/>
    <row r="80" spans="1:8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</sheetData>
  <mergeCells count="6">
    <mergeCell ref="A1:H1"/>
    <mergeCell ref="A3:H3"/>
    <mergeCell ref="A4:H4"/>
    <mergeCell ref="A2:B2"/>
    <mergeCell ref="C2:E2"/>
    <mergeCell ref="F2:H2"/>
  </mergeCells>
  <phoneticPr fontId="4" type="noConversion"/>
  <conditionalFormatting sqref="G9">
    <cfRule type="duplicateValues" dxfId="15" priority="141" stopIfTrue="1"/>
  </conditionalFormatting>
  <conditionalFormatting sqref="G11:G12">
    <cfRule type="duplicateValues" dxfId="14" priority="145" stopIfTrue="1"/>
  </conditionalFormatting>
  <conditionalFormatting sqref="G13">
    <cfRule type="duplicateValues" dxfId="13" priority="146" stopIfTrue="1"/>
  </conditionalFormatting>
  <conditionalFormatting sqref="G14">
    <cfRule type="duplicateValues" dxfId="12" priority="151" stopIfTrue="1"/>
  </conditionalFormatting>
  <conditionalFormatting sqref="G15:G16">
    <cfRule type="duplicateValues" dxfId="11" priority="152" stopIfTrue="1"/>
  </conditionalFormatting>
  <conditionalFormatting sqref="G19:G21">
    <cfRule type="duplicateValues" dxfId="10" priority="128" stopIfTrue="1"/>
  </conditionalFormatting>
  <conditionalFormatting sqref="G23:G30">
    <cfRule type="duplicateValues" dxfId="9" priority="153" stopIfTrue="1"/>
  </conditionalFormatting>
  <conditionalFormatting sqref="G31:G37">
    <cfRule type="duplicateValues" dxfId="8" priority="160" stopIfTrue="1"/>
  </conditionalFormatting>
  <conditionalFormatting sqref="G66">
    <cfRule type="duplicateValues" dxfId="7" priority="41" stopIfTrue="1"/>
  </conditionalFormatting>
  <conditionalFormatting sqref="G50 G74">
    <cfRule type="duplicateValues" dxfId="6" priority="40" stopIfTrue="1"/>
  </conditionalFormatting>
  <conditionalFormatting sqref="G53">
    <cfRule type="duplicateValues" dxfId="5" priority="45" stopIfTrue="1"/>
  </conditionalFormatting>
  <conditionalFormatting sqref="G63">
    <cfRule type="duplicateValues" dxfId="4" priority="35" stopIfTrue="1"/>
  </conditionalFormatting>
  <conditionalFormatting sqref="G70 G64">
    <cfRule type="duplicateValues" dxfId="3" priority="144" stopIfTrue="1"/>
  </conditionalFormatting>
  <conditionalFormatting sqref="G68">
    <cfRule type="duplicateValues" dxfId="2" priority="33" stopIfTrue="1"/>
  </conditionalFormatting>
  <conditionalFormatting sqref="G69">
    <cfRule type="duplicateValues" dxfId="1" priority="32" stopIfTrue="1"/>
  </conditionalFormatting>
  <conditionalFormatting sqref="G65">
    <cfRule type="duplicateValues" dxfId="0" priority="31" stopIfTrue="1"/>
  </conditionalFormatting>
  <pageMargins left="0.75" right="0.75" top="1" bottom="1" header="0.50902777777777797" footer="0.50902777777777797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SZJLS</dc:creator>
  <cp:lastModifiedBy>k029703</cp:lastModifiedBy>
  <cp:lastPrinted>2022-02-24T10:34:30Z</cp:lastPrinted>
  <dcterms:created xsi:type="dcterms:W3CDTF">2019-11-13T02:21:00Z</dcterms:created>
  <dcterms:modified xsi:type="dcterms:W3CDTF">2023-12-11T16:42:34Z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